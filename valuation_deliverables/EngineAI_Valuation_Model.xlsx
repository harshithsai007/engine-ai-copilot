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Growth_Model" sheetId="2" r:id="rId2"/>
    <sheet name="Valuation_Bridge" sheetId="3" r:id="rId3"/>
  </sheets>
  <calcPr calcId="124519" fullCalcOnLoad="1"/>
</workbook>
</file>

<file path=xl/sharedStrings.xml><?xml version="1.0" encoding="utf-8"?>
<sst xmlns="http://schemas.openxmlformats.org/spreadsheetml/2006/main" count="25" uniqueCount="25">
  <si>
    <t>EngineAI Valuation Model Overview</t>
  </si>
  <si>
    <t>Project Goal:</t>
  </si>
  <si>
    <t>Achieve a $100M+ valuation within a hyper-growth phase.</t>
  </si>
  <si>
    <t>Key Metrics:</t>
  </si>
  <si>
    <t>- Target Users: 17,000</t>
  </si>
  <si>
    <t>- Target ARR: $10,000,000</t>
  </si>
  <si>
    <t>- Target Valuation Multiplier: 10x+</t>
  </si>
  <si>
    <t>Model Description:</t>
  </si>
  <si>
    <t>This model projects a 30-day viral growth trajectory and analyzes</t>
  </si>
  <si>
    <t>the resulting valuation based on ARR multiples.</t>
  </si>
  <si>
    <t>Day</t>
  </si>
  <si>
    <t>New Users</t>
  </si>
  <si>
    <t>Total Users</t>
  </si>
  <si>
    <t>Daily Revenue ($50/mo rate)</t>
  </si>
  <si>
    <t>ARR</t>
  </si>
  <si>
    <t>Valuation Sensitivity Analysis</t>
  </si>
  <si>
    <t>Target ARR</t>
  </si>
  <si>
    <t>Multiple</t>
  </si>
  <si>
    <t>Implied Valuation</t>
  </si>
  <si>
    <t>8x</t>
  </si>
  <si>
    <t>10x</t>
  </si>
  <si>
    <t>12x</t>
  </si>
  <si>
    <t>Conclusion:</t>
  </si>
  <si>
    <t>At a 10x revenue multiple, the $10M ARR milestone</t>
  </si>
  <si>
    <t>triggers the $100M valuation target.</t>
  </si>
</sst>
</file>

<file path=xl/styles.xml><?xml version="1.0" encoding="utf-8"?>
<styleSheet xmlns="http://schemas.openxmlformats.org/spreadsheetml/2006/main">
  <numFmts count="1">
    <numFmt numFmtId="164" formatCode="$#,##0"/>
  </numFmts>
  <fonts count="4">
    <font>
      <sz val="11"/>
      <color theme="1"/>
      <name val="Calibri"/>
      <family val="2"/>
      <scheme val="minor"/>
    </font>
    <font>
      <b/>
      <sz val="16"/>
      <color rgb="FF00336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cols>
    <col min="1" max="1" width="50.7109375" customWidth="1"/>
  </cols>
  <sheetData>
    <row r="1" spans="1:1">
      <c r="A1" s="1" t="s">
        <v>0</v>
      </c>
    </row>
    <row r="3" spans="1:1">
      <c r="A3" s="2" t="s">
        <v>1</v>
      </c>
    </row>
    <row r="4" spans="1:1">
      <c r="A4" t="s">
        <v>2</v>
      </c>
    </row>
    <row r="6" spans="1:1">
      <c r="A6" s="2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s="2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cols>
    <col min="1" max="5" width="20.7109375" customWidth="1"/>
  </cols>
  <sheetData>
    <row r="1" spans="1:5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</row>
    <row r="2" spans="1:5">
      <c r="A2" s="4">
        <v>1</v>
      </c>
      <c r="B2" s="4">
        <v>37</v>
      </c>
      <c r="C2" s="4">
        <v>37</v>
      </c>
      <c r="D2" s="5">
        <f>C2*(50/30)</f>
        <v>0</v>
      </c>
      <c r="E2" s="5">
        <f>C2*50*12</f>
        <v>0</v>
      </c>
    </row>
    <row r="3" spans="1:5">
      <c r="A3" s="4">
        <v>2</v>
      </c>
      <c r="B3" s="4">
        <v>75</v>
      </c>
      <c r="C3" s="4">
        <v>112</v>
      </c>
      <c r="D3" s="5">
        <f>C3*(50/30)</f>
        <v>0</v>
      </c>
      <c r="E3" s="5">
        <f>C3*50*12</f>
        <v>0</v>
      </c>
    </row>
    <row r="4" spans="1:5">
      <c r="A4" s="4">
        <v>3</v>
      </c>
      <c r="B4" s="4">
        <v>113</v>
      </c>
      <c r="C4" s="4">
        <v>225</v>
      </c>
      <c r="D4" s="5">
        <f>C4*(50/30)</f>
        <v>0</v>
      </c>
      <c r="E4" s="5">
        <f>C4*50*12</f>
        <v>0</v>
      </c>
    </row>
    <row r="5" spans="1:5">
      <c r="A5" s="4">
        <v>4</v>
      </c>
      <c r="B5" s="4">
        <v>151</v>
      </c>
      <c r="C5" s="4">
        <v>376</v>
      </c>
      <c r="D5" s="5">
        <f>C5*(50/30)</f>
        <v>0</v>
      </c>
      <c r="E5" s="5">
        <f>C5*50*12</f>
        <v>0</v>
      </c>
    </row>
    <row r="6" spans="1:5">
      <c r="A6" s="4">
        <v>5</v>
      </c>
      <c r="B6" s="4">
        <v>188</v>
      </c>
      <c r="C6" s="4">
        <v>564</v>
      </c>
      <c r="D6" s="5">
        <f>C6*(50/30)</f>
        <v>0</v>
      </c>
      <c r="E6" s="5">
        <f>C6*50*12</f>
        <v>0</v>
      </c>
    </row>
    <row r="7" spans="1:5">
      <c r="A7" s="4">
        <v>6</v>
      </c>
      <c r="B7" s="4">
        <v>226</v>
      </c>
      <c r="C7" s="4">
        <v>790</v>
      </c>
      <c r="D7" s="5">
        <f>C7*(50/30)</f>
        <v>0</v>
      </c>
      <c r="E7" s="5">
        <f>C7*50*12</f>
        <v>0</v>
      </c>
    </row>
    <row r="8" spans="1:5">
      <c r="A8" s="4">
        <v>7</v>
      </c>
      <c r="B8" s="4">
        <v>264</v>
      </c>
      <c r="C8" s="4">
        <v>1054</v>
      </c>
      <c r="D8" s="5">
        <f>C8*(50/30)</f>
        <v>0</v>
      </c>
      <c r="E8" s="5">
        <f>C8*50*12</f>
        <v>0</v>
      </c>
    </row>
    <row r="9" spans="1:5">
      <c r="A9" s="4">
        <v>8</v>
      </c>
      <c r="B9" s="4">
        <v>302</v>
      </c>
      <c r="C9" s="4">
        <v>1356</v>
      </c>
      <c r="D9" s="5">
        <f>C9*(50/30)</f>
        <v>0</v>
      </c>
      <c r="E9" s="5">
        <f>C9*50*12</f>
        <v>0</v>
      </c>
    </row>
    <row r="10" spans="1:5">
      <c r="A10" s="4">
        <v>9</v>
      </c>
      <c r="B10" s="4">
        <v>339</v>
      </c>
      <c r="C10" s="4">
        <v>1695</v>
      </c>
      <c r="D10" s="5">
        <f>C10*(50/30)</f>
        <v>0</v>
      </c>
      <c r="E10" s="5">
        <f>C10*50*12</f>
        <v>0</v>
      </c>
    </row>
    <row r="11" spans="1:5">
      <c r="A11" s="4">
        <v>10</v>
      </c>
      <c r="B11" s="4">
        <v>377</v>
      </c>
      <c r="C11" s="4">
        <v>2072</v>
      </c>
      <c r="D11" s="5">
        <f>C11*(50/30)</f>
        <v>0</v>
      </c>
      <c r="E11" s="5">
        <f>C11*50*12</f>
        <v>0</v>
      </c>
    </row>
    <row r="12" spans="1:5">
      <c r="A12" s="4">
        <v>11</v>
      </c>
      <c r="B12" s="4">
        <v>415</v>
      </c>
      <c r="C12" s="4">
        <v>2487</v>
      </c>
      <c r="D12" s="5">
        <f>C12*(50/30)</f>
        <v>0</v>
      </c>
      <c r="E12" s="5">
        <f>C12*50*12</f>
        <v>0</v>
      </c>
    </row>
    <row r="13" spans="1:5">
      <c r="A13" s="4">
        <v>12</v>
      </c>
      <c r="B13" s="4">
        <v>453</v>
      </c>
      <c r="C13" s="4">
        <v>2940</v>
      </c>
      <c r="D13" s="5">
        <f>C13*(50/30)</f>
        <v>0</v>
      </c>
      <c r="E13" s="5">
        <f>C13*50*12</f>
        <v>0</v>
      </c>
    </row>
    <row r="14" spans="1:5">
      <c r="A14" s="4">
        <v>13</v>
      </c>
      <c r="B14" s="4">
        <v>491</v>
      </c>
      <c r="C14" s="4">
        <v>3431</v>
      </c>
      <c r="D14" s="5">
        <f>C14*(50/30)</f>
        <v>0</v>
      </c>
      <c r="E14" s="5">
        <f>C14*50*12</f>
        <v>0</v>
      </c>
    </row>
    <row r="15" spans="1:5">
      <c r="A15" s="4">
        <v>14</v>
      </c>
      <c r="B15" s="4">
        <v>528</v>
      </c>
      <c r="C15" s="4">
        <v>3959</v>
      </c>
      <c r="D15" s="5">
        <f>C15*(50/30)</f>
        <v>0</v>
      </c>
      <c r="E15" s="5">
        <f>C15*50*12</f>
        <v>0</v>
      </c>
    </row>
    <row r="16" spans="1:5">
      <c r="A16" s="4">
        <v>15</v>
      </c>
      <c r="B16" s="4">
        <v>566</v>
      </c>
      <c r="C16" s="4">
        <v>4525</v>
      </c>
      <c r="D16" s="5">
        <f>C16*(50/30)</f>
        <v>0</v>
      </c>
      <c r="E16" s="5">
        <f>C16*50*12</f>
        <v>0</v>
      </c>
    </row>
    <row r="17" spans="1:5">
      <c r="A17" s="4">
        <v>16</v>
      </c>
      <c r="B17" s="4">
        <v>604</v>
      </c>
      <c r="C17" s="4">
        <v>5129</v>
      </c>
      <c r="D17" s="5">
        <f>C17*(50/30)</f>
        <v>0</v>
      </c>
      <c r="E17" s="5">
        <f>C17*50*12</f>
        <v>0</v>
      </c>
    </row>
    <row r="18" spans="1:5">
      <c r="A18" s="4">
        <v>17</v>
      </c>
      <c r="B18" s="4">
        <v>642</v>
      </c>
      <c r="C18" s="4">
        <v>5771</v>
      </c>
      <c r="D18" s="5">
        <f>C18*(50/30)</f>
        <v>0</v>
      </c>
      <c r="E18" s="5">
        <f>C18*50*12</f>
        <v>0</v>
      </c>
    </row>
    <row r="19" spans="1:5">
      <c r="A19" s="4">
        <v>18</v>
      </c>
      <c r="B19" s="4">
        <v>679</v>
      </c>
      <c r="C19" s="4">
        <v>6450</v>
      </c>
      <c r="D19" s="5">
        <f>C19*(50/30)</f>
        <v>0</v>
      </c>
      <c r="E19" s="5">
        <f>C19*50*12</f>
        <v>0</v>
      </c>
    </row>
    <row r="20" spans="1:5">
      <c r="A20" s="4">
        <v>19</v>
      </c>
      <c r="B20" s="4">
        <v>717</v>
      </c>
      <c r="C20" s="4">
        <v>7167</v>
      </c>
      <c r="D20" s="5">
        <f>C20*(50/30)</f>
        <v>0</v>
      </c>
      <c r="E20" s="5">
        <f>C20*50*12</f>
        <v>0</v>
      </c>
    </row>
    <row r="21" spans="1:5">
      <c r="A21" s="4">
        <v>20</v>
      </c>
      <c r="B21" s="4">
        <v>755</v>
      </c>
      <c r="C21" s="4">
        <v>7922</v>
      </c>
      <c r="D21" s="5">
        <f>C21*(50/30)</f>
        <v>0</v>
      </c>
      <c r="E21" s="5">
        <f>C21*50*12</f>
        <v>0</v>
      </c>
    </row>
    <row r="22" spans="1:5">
      <c r="A22" s="4">
        <v>21</v>
      </c>
      <c r="B22" s="4">
        <v>793</v>
      </c>
      <c r="C22" s="4">
        <v>8715</v>
      </c>
      <c r="D22" s="5">
        <f>C22*(50/30)</f>
        <v>0</v>
      </c>
      <c r="E22" s="5">
        <f>C22*50*12</f>
        <v>0</v>
      </c>
    </row>
    <row r="23" spans="1:5">
      <c r="A23" s="4">
        <v>22</v>
      </c>
      <c r="B23" s="4">
        <v>831</v>
      </c>
      <c r="C23" s="4">
        <v>9546</v>
      </c>
      <c r="D23" s="5">
        <f>C23*(50/30)</f>
        <v>0</v>
      </c>
      <c r="E23" s="5">
        <f>C23*50*12</f>
        <v>0</v>
      </c>
    </row>
    <row r="24" spans="1:5">
      <c r="A24" s="4">
        <v>23</v>
      </c>
      <c r="B24" s="4">
        <v>868</v>
      </c>
      <c r="C24" s="4">
        <v>10414</v>
      </c>
      <c r="D24" s="5">
        <f>C24*(50/30)</f>
        <v>0</v>
      </c>
      <c r="E24" s="5">
        <f>C24*50*12</f>
        <v>0</v>
      </c>
    </row>
    <row r="25" spans="1:5">
      <c r="A25" s="4">
        <v>24</v>
      </c>
      <c r="B25" s="4">
        <v>906</v>
      </c>
      <c r="C25" s="4">
        <v>11320</v>
      </c>
      <c r="D25" s="5">
        <f>C25*(50/30)</f>
        <v>0</v>
      </c>
      <c r="E25" s="5">
        <f>C25*50*12</f>
        <v>0</v>
      </c>
    </row>
    <row r="26" spans="1:5">
      <c r="A26" s="4">
        <v>25</v>
      </c>
      <c r="B26" s="4">
        <v>944</v>
      </c>
      <c r="C26" s="4">
        <v>12264</v>
      </c>
      <c r="D26" s="5">
        <f>C26*(50/30)</f>
        <v>0</v>
      </c>
      <c r="E26" s="5">
        <f>C26*50*12</f>
        <v>0</v>
      </c>
    </row>
    <row r="27" spans="1:5">
      <c r="A27" s="4">
        <v>26</v>
      </c>
      <c r="B27" s="4">
        <v>982</v>
      </c>
      <c r="C27" s="4">
        <v>13246</v>
      </c>
      <c r="D27" s="5">
        <f>C27*(50/30)</f>
        <v>0</v>
      </c>
      <c r="E27" s="5">
        <f>C27*50*12</f>
        <v>0</v>
      </c>
    </row>
    <row r="28" spans="1:5">
      <c r="A28" s="4">
        <v>27</v>
      </c>
      <c r="B28" s="4">
        <v>1020</v>
      </c>
      <c r="C28" s="4">
        <v>14266</v>
      </c>
      <c r="D28" s="5">
        <f>C28*(50/30)</f>
        <v>0</v>
      </c>
      <c r="E28" s="5">
        <f>C28*50*12</f>
        <v>0</v>
      </c>
    </row>
    <row r="29" spans="1:5">
      <c r="A29" s="4">
        <v>28</v>
      </c>
      <c r="B29" s="4">
        <v>1057</v>
      </c>
      <c r="C29" s="4">
        <v>15323</v>
      </c>
      <c r="D29" s="5">
        <f>C29*(50/30)</f>
        <v>0</v>
      </c>
      <c r="E29" s="5">
        <f>C29*50*12</f>
        <v>0</v>
      </c>
    </row>
    <row r="30" spans="1:5">
      <c r="A30" s="4">
        <v>29</v>
      </c>
      <c r="B30" s="4">
        <v>1095</v>
      </c>
      <c r="C30" s="4">
        <v>16418</v>
      </c>
      <c r="D30" s="5">
        <f>C30*(50/30)</f>
        <v>0</v>
      </c>
      <c r="E30" s="5">
        <f>C30*50*12</f>
        <v>0</v>
      </c>
    </row>
    <row r="31" spans="1:5">
      <c r="A31" s="4">
        <v>30</v>
      </c>
      <c r="B31" s="4">
        <v>582</v>
      </c>
      <c r="C31" s="4">
        <v>17000</v>
      </c>
      <c r="D31" s="5">
        <f>C31*(50/30)</f>
        <v>0</v>
      </c>
      <c r="E31" s="5">
        <f>C31*50*12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2" width="25.7109375" customWidth="1"/>
  </cols>
  <sheetData>
    <row r="1" spans="1:2">
      <c r="A1" s="1" t="s">
        <v>15</v>
      </c>
    </row>
    <row r="3" spans="1:2">
      <c r="A3" s="3" t="s">
        <v>16</v>
      </c>
      <c r="B3" s="5">
        <v>10000000</v>
      </c>
    </row>
    <row r="5" spans="1:2">
      <c r="A5" s="3" t="s">
        <v>17</v>
      </c>
      <c r="B5" s="3" t="s">
        <v>18</v>
      </c>
    </row>
    <row r="6" spans="1:2">
      <c r="A6" s="4" t="s">
        <v>19</v>
      </c>
      <c r="B6" s="5">
        <f>B4*8</f>
        <v>0</v>
      </c>
    </row>
    <row r="7" spans="1:2">
      <c r="A7" s="4" t="s">
        <v>20</v>
      </c>
      <c r="B7" s="5">
        <f>B4*10</f>
        <v>0</v>
      </c>
    </row>
    <row r="8" spans="1:2">
      <c r="A8" s="4" t="s">
        <v>21</v>
      </c>
      <c r="B8" s="5">
        <f>B4*12</f>
        <v>0</v>
      </c>
    </row>
    <row r="10" spans="1:2">
      <c r="A10" s="2" t="s">
        <v>22</v>
      </c>
    </row>
    <row r="11" spans="1:2">
      <c r="A11" t="s">
        <v>23</v>
      </c>
    </row>
    <row r="12" spans="1:2">
      <c r="A1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Growth_Model</vt:lpstr>
      <vt:lpstr>Valuation_Bridge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2026-05-24T19:37:55Z</dcterms:created>
  <dcterms:modified xsi:type="dcterms:W3CDTF">2026-05-24T19:37:55Z</dcterms:modified>
</cp:coreProperties>
</file>